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ysuev\project\soplo\"/>
    </mc:Choice>
  </mc:AlternateContent>
  <xr:revisionPtr revIDLastSave="0" documentId="13_ncr:1_{AD9B2EDD-E84D-424D-9EE1-5D6A239D7F71}" xr6:coauthVersionLast="36" xr6:coauthVersionMax="36" xr10:uidLastSave="{00000000-0000-0000-0000-000000000000}"/>
  <bookViews>
    <workbookView xWindow="0" yWindow="0" windowWidth="17256" windowHeight="5508" xr2:uid="{E0E8B6D8-01D3-4FE3-BBE9-08E34D498BA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4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N3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M35" i="1"/>
  <c r="H37" i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J36" i="1"/>
  <c r="C54" i="1"/>
  <c r="C53" i="1"/>
  <c r="C52" i="1"/>
  <c r="G38" i="1"/>
  <c r="D51" i="1"/>
  <c r="D50" i="1"/>
  <c r="D49" i="1"/>
  <c r="D48" i="1"/>
  <c r="D47" i="1"/>
  <c r="D46" i="1"/>
  <c r="D45" i="1"/>
  <c r="D44" i="1"/>
  <c r="C44" i="1" s="1"/>
  <c r="D43" i="1"/>
  <c r="D42" i="1"/>
  <c r="D41" i="1"/>
  <c r="C41" i="1" s="1"/>
  <c r="D40" i="1"/>
  <c r="D39" i="1"/>
  <c r="D38" i="1"/>
  <c r="D37" i="1"/>
  <c r="C37" i="1" s="1"/>
  <c r="J37" i="1" s="1"/>
  <c r="C50" i="1"/>
  <c r="C49" i="1"/>
  <c r="C51" i="1"/>
  <c r="C48" i="1"/>
  <c r="C47" i="1"/>
  <c r="C46" i="1"/>
  <c r="C45" i="1"/>
  <c r="C43" i="1"/>
  <c r="C42" i="1"/>
  <c r="C40" i="1"/>
  <c r="C39" i="1"/>
  <c r="C38" i="1"/>
  <c r="G37" i="1"/>
  <c r="I37" i="1" s="1"/>
  <c r="K37" i="1" s="1"/>
  <c r="I36" i="1"/>
  <c r="K36" i="1" s="1"/>
  <c r="L36" i="1" s="1"/>
  <c r="G36" i="1"/>
  <c r="R2" i="1"/>
  <c r="S12" i="1"/>
  <c r="S2" i="1"/>
  <c r="O2" i="1"/>
  <c r="C36" i="1"/>
  <c r="R28" i="1"/>
  <c r="R27" i="1"/>
  <c r="R26" i="1"/>
  <c r="R25" i="1"/>
  <c r="R16" i="1"/>
  <c r="R15" i="1"/>
  <c r="A25" i="1"/>
  <c r="N28" i="1"/>
  <c r="M28" i="1"/>
  <c r="K28" i="1"/>
  <c r="L28" i="1" s="1"/>
  <c r="H28" i="1"/>
  <c r="I28" i="1" s="1"/>
  <c r="P28" i="1" s="1"/>
  <c r="G28" i="1"/>
  <c r="F28" i="1"/>
  <c r="C28" i="1"/>
  <c r="A28" i="1"/>
  <c r="M27" i="1"/>
  <c r="N27" i="1" s="1"/>
  <c r="K27" i="1"/>
  <c r="L27" i="1" s="1"/>
  <c r="H27" i="1"/>
  <c r="I27" i="1" s="1"/>
  <c r="P27" i="1" s="1"/>
  <c r="G27" i="1"/>
  <c r="F27" i="1"/>
  <c r="C27" i="1"/>
  <c r="A27" i="1"/>
  <c r="M26" i="1"/>
  <c r="N26" i="1" s="1"/>
  <c r="K26" i="1"/>
  <c r="L26" i="1" s="1"/>
  <c r="H26" i="1"/>
  <c r="I26" i="1" s="1"/>
  <c r="P26" i="1" s="1"/>
  <c r="G26" i="1"/>
  <c r="F26" i="1"/>
  <c r="C26" i="1"/>
  <c r="A26" i="1"/>
  <c r="M25" i="1"/>
  <c r="N25" i="1" s="1"/>
  <c r="K25" i="1"/>
  <c r="L25" i="1" s="1"/>
  <c r="H25" i="1"/>
  <c r="I25" i="1" s="1"/>
  <c r="P25" i="1" s="1"/>
  <c r="G25" i="1"/>
  <c r="F25" i="1"/>
  <c r="C25" i="1"/>
  <c r="M16" i="1"/>
  <c r="M17" i="1" s="1"/>
  <c r="L24" i="1"/>
  <c r="K24" i="1"/>
  <c r="H24" i="1"/>
  <c r="I24" i="1" s="1"/>
  <c r="P24" i="1" s="1"/>
  <c r="G24" i="1"/>
  <c r="F24" i="1"/>
  <c r="C24" i="1"/>
  <c r="A24" i="1"/>
  <c r="K23" i="1"/>
  <c r="L23" i="1" s="1"/>
  <c r="H23" i="1"/>
  <c r="I23" i="1" s="1"/>
  <c r="P23" i="1" s="1"/>
  <c r="G23" i="1"/>
  <c r="F23" i="1"/>
  <c r="C23" i="1"/>
  <c r="A23" i="1"/>
  <c r="K22" i="1"/>
  <c r="L22" i="1" s="1"/>
  <c r="H22" i="1"/>
  <c r="I22" i="1" s="1"/>
  <c r="P22" i="1" s="1"/>
  <c r="G22" i="1"/>
  <c r="F22" i="1"/>
  <c r="C22" i="1"/>
  <c r="A22" i="1"/>
  <c r="K21" i="1"/>
  <c r="L21" i="1" s="1"/>
  <c r="H21" i="1"/>
  <c r="I21" i="1" s="1"/>
  <c r="P21" i="1" s="1"/>
  <c r="G21" i="1"/>
  <c r="F21" i="1"/>
  <c r="C21" i="1"/>
  <c r="A21" i="1"/>
  <c r="L20" i="1"/>
  <c r="K20" i="1"/>
  <c r="H20" i="1"/>
  <c r="I20" i="1" s="1"/>
  <c r="P20" i="1" s="1"/>
  <c r="G20" i="1"/>
  <c r="F20" i="1"/>
  <c r="C20" i="1"/>
  <c r="A20" i="1"/>
  <c r="K19" i="1"/>
  <c r="L19" i="1" s="1"/>
  <c r="H19" i="1"/>
  <c r="I19" i="1" s="1"/>
  <c r="P19" i="1" s="1"/>
  <c r="G19" i="1"/>
  <c r="F19" i="1"/>
  <c r="C19" i="1"/>
  <c r="A19" i="1"/>
  <c r="K18" i="1"/>
  <c r="L18" i="1" s="1"/>
  <c r="H18" i="1"/>
  <c r="I18" i="1" s="1"/>
  <c r="P18" i="1" s="1"/>
  <c r="G18" i="1"/>
  <c r="F18" i="1"/>
  <c r="C18" i="1"/>
  <c r="A18" i="1"/>
  <c r="K17" i="1"/>
  <c r="L17" i="1" s="1"/>
  <c r="H17" i="1"/>
  <c r="I17" i="1" s="1"/>
  <c r="P17" i="1" s="1"/>
  <c r="G17" i="1"/>
  <c r="F17" i="1"/>
  <c r="C17" i="1"/>
  <c r="A17" i="1"/>
  <c r="Q16" i="1"/>
  <c r="Q17" i="1" s="1"/>
  <c r="Q18" i="1" s="1"/>
  <c r="Q19" i="1" s="1"/>
  <c r="Q20" i="1" s="1"/>
  <c r="Q21" i="1" s="1"/>
  <c r="Q22" i="1" s="1"/>
  <c r="Q23" i="1" s="1"/>
  <c r="Q24" i="1" s="1"/>
  <c r="R24" i="1" s="1"/>
  <c r="L16" i="1"/>
  <c r="K16" i="1"/>
  <c r="H16" i="1"/>
  <c r="I16" i="1" s="1"/>
  <c r="P16" i="1" s="1"/>
  <c r="G16" i="1"/>
  <c r="F16" i="1"/>
  <c r="C16" i="1"/>
  <c r="A16" i="1"/>
  <c r="N15" i="1"/>
  <c r="K15" i="1"/>
  <c r="L15" i="1" s="1"/>
  <c r="H15" i="1"/>
  <c r="I15" i="1" s="1"/>
  <c r="P15" i="1" s="1"/>
  <c r="G15" i="1"/>
  <c r="F15" i="1"/>
  <c r="C15" i="1"/>
  <c r="A15" i="1"/>
  <c r="Q3" i="1"/>
  <c r="R3" i="1" s="1"/>
  <c r="P13" i="1"/>
  <c r="P12" i="1"/>
  <c r="P11" i="1"/>
  <c r="P10" i="1"/>
  <c r="P9" i="1"/>
  <c r="P8" i="1"/>
  <c r="P7" i="1"/>
  <c r="P6" i="1"/>
  <c r="P5" i="1"/>
  <c r="P4" i="1"/>
  <c r="P3" i="1"/>
  <c r="P2" i="1"/>
  <c r="A13" i="1"/>
  <c r="A12" i="1"/>
  <c r="A11" i="1"/>
  <c r="A10" i="1"/>
  <c r="A9" i="1"/>
  <c r="A8" i="1"/>
  <c r="A7" i="1"/>
  <c r="A6" i="1"/>
  <c r="A5" i="1"/>
  <c r="A4" i="1"/>
  <c r="A3" i="1"/>
  <c r="N13" i="1"/>
  <c r="K13" i="1"/>
  <c r="L13" i="1" s="1"/>
  <c r="H13" i="1"/>
  <c r="I13" i="1" s="1"/>
  <c r="G13" i="1"/>
  <c r="F13" i="1"/>
  <c r="C13" i="1"/>
  <c r="O13" i="1" s="1"/>
  <c r="K12" i="1"/>
  <c r="L12" i="1" s="1"/>
  <c r="H12" i="1"/>
  <c r="I12" i="1" s="1"/>
  <c r="G12" i="1"/>
  <c r="F12" i="1"/>
  <c r="C12" i="1"/>
  <c r="C2" i="1"/>
  <c r="N1048576" i="1"/>
  <c r="N3" i="1"/>
  <c r="O3" i="1" s="1"/>
  <c r="N2" i="1"/>
  <c r="M3" i="1"/>
  <c r="M4" i="1" s="1"/>
  <c r="L11" i="1"/>
  <c r="L10" i="1"/>
  <c r="L9" i="1"/>
  <c r="L8" i="1"/>
  <c r="L7" i="1"/>
  <c r="L6" i="1"/>
  <c r="L5" i="1"/>
  <c r="L4" i="1"/>
  <c r="L3" i="1"/>
  <c r="L2" i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K2" i="1"/>
  <c r="J1048576" i="1"/>
  <c r="J2" i="1"/>
  <c r="I11" i="1"/>
  <c r="I10" i="1"/>
  <c r="I9" i="1"/>
  <c r="I8" i="1"/>
  <c r="I7" i="1"/>
  <c r="I6" i="1"/>
  <c r="I5" i="1"/>
  <c r="I4" i="1"/>
  <c r="I3" i="1"/>
  <c r="I2" i="1"/>
  <c r="H11" i="1"/>
  <c r="H10" i="1"/>
  <c r="H9" i="1"/>
  <c r="H8" i="1"/>
  <c r="H7" i="1"/>
  <c r="H6" i="1"/>
  <c r="H5" i="1"/>
  <c r="H4" i="1"/>
  <c r="H3" i="1"/>
  <c r="H2" i="1"/>
  <c r="G11" i="1"/>
  <c r="G10" i="1"/>
  <c r="G9" i="1"/>
  <c r="G8" i="1"/>
  <c r="G7" i="1"/>
  <c r="G6" i="1"/>
  <c r="G5" i="1"/>
  <c r="G4" i="1"/>
  <c r="G3" i="1"/>
  <c r="G2" i="1"/>
  <c r="F11" i="1"/>
  <c r="F10" i="1"/>
  <c r="F9" i="1"/>
  <c r="F8" i="1"/>
  <c r="F7" i="1"/>
  <c r="F6" i="1"/>
  <c r="F5" i="1"/>
  <c r="F4" i="1"/>
  <c r="F3" i="1"/>
  <c r="F2" i="1"/>
  <c r="C11" i="1"/>
  <c r="C10" i="1"/>
  <c r="C9" i="1"/>
  <c r="C8" i="1"/>
  <c r="C1048576" i="1"/>
  <c r="C7" i="1"/>
  <c r="C6" i="1"/>
  <c r="C5" i="1"/>
  <c r="C4" i="1"/>
  <c r="C3" i="1"/>
  <c r="G52" i="1" l="1"/>
  <c r="J50" i="1"/>
  <c r="J53" i="1"/>
  <c r="J39" i="1"/>
  <c r="G51" i="1"/>
  <c r="G43" i="1"/>
  <c r="I43" i="1" s="1"/>
  <c r="K43" i="1" s="1"/>
  <c r="G39" i="1"/>
  <c r="I39" i="1" s="1"/>
  <c r="K39" i="1" s="1"/>
  <c r="J43" i="1"/>
  <c r="J38" i="1"/>
  <c r="I38" i="1"/>
  <c r="K38" i="1" s="1"/>
  <c r="L37" i="1"/>
  <c r="R17" i="1"/>
  <c r="S17" i="1" s="1"/>
  <c r="R18" i="1"/>
  <c r="S18" i="1" s="1"/>
  <c r="R19" i="1"/>
  <c r="R20" i="1"/>
  <c r="R21" i="1"/>
  <c r="R22" i="1"/>
  <c r="R23" i="1"/>
  <c r="S19" i="1"/>
  <c r="S3" i="1"/>
  <c r="T3" i="1" s="1"/>
  <c r="S28" i="1"/>
  <c r="O28" i="1"/>
  <c r="S27" i="1"/>
  <c r="O27" i="1"/>
  <c r="S26" i="1"/>
  <c r="T26" i="1" s="1"/>
  <c r="S25" i="1"/>
  <c r="O26" i="1"/>
  <c r="O25" i="1"/>
  <c r="N17" i="1"/>
  <c r="O17" i="1" s="1"/>
  <c r="M18" i="1"/>
  <c r="N16" i="1"/>
  <c r="S24" i="1"/>
  <c r="S23" i="1"/>
  <c r="S22" i="1"/>
  <c r="S21" i="1"/>
  <c r="S20" i="1"/>
  <c r="O16" i="1"/>
  <c r="S16" i="1"/>
  <c r="S15" i="1"/>
  <c r="O15" i="1"/>
  <c r="Q4" i="1"/>
  <c r="R4" i="1" s="1"/>
  <c r="T2" i="1"/>
  <c r="N4" i="1"/>
  <c r="O4" i="1" s="1"/>
  <c r="M5" i="1"/>
  <c r="G46" i="1" l="1"/>
  <c r="I46" i="1" s="1"/>
  <c r="K46" i="1" s="1"/>
  <c r="G45" i="1"/>
  <c r="G44" i="1"/>
  <c r="I44" i="1" s="1"/>
  <c r="K44" i="1" s="1"/>
  <c r="G53" i="1"/>
  <c r="I53" i="1" s="1"/>
  <c r="K53" i="1" s="1"/>
  <c r="L53" i="1" s="1"/>
  <c r="G54" i="1"/>
  <c r="J54" i="1"/>
  <c r="J52" i="1"/>
  <c r="J44" i="1"/>
  <c r="I52" i="1"/>
  <c r="K52" i="1" s="1"/>
  <c r="J51" i="1"/>
  <c r="L39" i="1"/>
  <c r="I51" i="1"/>
  <c r="K51" i="1" s="1"/>
  <c r="L51" i="1" s="1"/>
  <c r="J48" i="1"/>
  <c r="J46" i="1"/>
  <c r="J47" i="1"/>
  <c r="J45" i="1"/>
  <c r="I45" i="1"/>
  <c r="K45" i="1" s="1"/>
  <c r="J49" i="1"/>
  <c r="G40" i="1"/>
  <c r="L43" i="1"/>
  <c r="L38" i="1"/>
  <c r="T28" i="1"/>
  <c r="T27" i="1"/>
  <c r="T25" i="1"/>
  <c r="T18" i="1"/>
  <c r="N18" i="1"/>
  <c r="O18" i="1" s="1"/>
  <c r="M19" i="1"/>
  <c r="T17" i="1"/>
  <c r="T16" i="1"/>
  <c r="T15" i="1"/>
  <c r="Q5" i="1"/>
  <c r="R5" i="1" s="1"/>
  <c r="S4" i="1"/>
  <c r="T4" i="1" s="1"/>
  <c r="M6" i="1"/>
  <c r="N5" i="1"/>
  <c r="O5" i="1" s="1"/>
  <c r="G47" i="1" l="1"/>
  <c r="I47" i="1" s="1"/>
  <c r="K47" i="1" s="1"/>
  <c r="L47" i="1" s="1"/>
  <c r="L44" i="1"/>
  <c r="I54" i="1"/>
  <c r="K54" i="1"/>
  <c r="L54" i="1" s="1"/>
  <c r="L52" i="1"/>
  <c r="L46" i="1"/>
  <c r="L45" i="1"/>
  <c r="G42" i="1"/>
  <c r="G41" i="1"/>
  <c r="N19" i="1"/>
  <c r="O19" i="1" s="1"/>
  <c r="T19" i="1" s="1"/>
  <c r="M20" i="1"/>
  <c r="Q6" i="1"/>
  <c r="R6" i="1" s="1"/>
  <c r="S5" i="1"/>
  <c r="T5" i="1"/>
  <c r="M7" i="1"/>
  <c r="N6" i="1"/>
  <c r="O6" i="1" s="1"/>
  <c r="G48" i="1" l="1"/>
  <c r="I48" i="1" s="1"/>
  <c r="K48" i="1" s="1"/>
  <c r="L48" i="1" s="1"/>
  <c r="N20" i="1"/>
  <c r="O20" i="1" s="1"/>
  <c r="T20" i="1" s="1"/>
  <c r="M21" i="1"/>
  <c r="Q7" i="1"/>
  <c r="R7" i="1" s="1"/>
  <c r="S6" i="1"/>
  <c r="T6" i="1" s="1"/>
  <c r="M8" i="1"/>
  <c r="N7" i="1"/>
  <c r="O7" i="1" s="1"/>
  <c r="G50" i="1" l="1"/>
  <c r="I50" i="1" s="1"/>
  <c r="K50" i="1" s="1"/>
  <c r="L50" i="1" s="1"/>
  <c r="G49" i="1"/>
  <c r="I49" i="1" s="1"/>
  <c r="K49" i="1" s="1"/>
  <c r="L49" i="1" s="1"/>
  <c r="N21" i="1"/>
  <c r="O21" i="1" s="1"/>
  <c r="T21" i="1" s="1"/>
  <c r="M22" i="1"/>
  <c r="Q8" i="1"/>
  <c r="R8" i="1" s="1"/>
  <c r="S7" i="1"/>
  <c r="T7" i="1" s="1"/>
  <c r="M9" i="1"/>
  <c r="N8" i="1"/>
  <c r="O8" i="1" s="1"/>
  <c r="M23" i="1" l="1"/>
  <c r="N22" i="1"/>
  <c r="O22" i="1" s="1"/>
  <c r="T22" i="1" s="1"/>
  <c r="Q9" i="1"/>
  <c r="R9" i="1" s="1"/>
  <c r="S8" i="1"/>
  <c r="T8" i="1" s="1"/>
  <c r="M10" i="1"/>
  <c r="N9" i="1"/>
  <c r="O9" i="1" s="1"/>
  <c r="M24" i="1" l="1"/>
  <c r="N24" i="1" s="1"/>
  <c r="O24" i="1" s="1"/>
  <c r="T24" i="1" s="1"/>
  <c r="N23" i="1"/>
  <c r="O23" i="1" s="1"/>
  <c r="T23" i="1" s="1"/>
  <c r="Q10" i="1"/>
  <c r="R10" i="1" s="1"/>
  <c r="S9" i="1"/>
  <c r="T9" i="1" s="1"/>
  <c r="N10" i="1"/>
  <c r="O10" i="1" s="1"/>
  <c r="M11" i="1"/>
  <c r="Q11" i="1" l="1"/>
  <c r="R11" i="1" s="1"/>
  <c r="S10" i="1"/>
  <c r="T10" i="1" s="1"/>
  <c r="N12" i="1"/>
  <c r="O12" i="1" s="1"/>
  <c r="N11" i="1"/>
  <c r="O11" i="1" s="1"/>
  <c r="Q12" i="1" l="1"/>
  <c r="R12" i="1" s="1"/>
  <c r="S11" i="1"/>
  <c r="T11" i="1" s="1"/>
  <c r="Q13" i="1" l="1"/>
  <c r="R13" i="1" s="1"/>
  <c r="T12" i="1"/>
  <c r="S13" i="1" l="1"/>
  <c r="T13" i="1" s="1"/>
  <c r="I40" i="1"/>
  <c r="J40" i="1" l="1"/>
  <c r="K40" i="1"/>
  <c r="L40" i="1" l="1"/>
  <c r="I41" i="1"/>
  <c r="K41" i="1" s="1"/>
  <c r="J41" i="1"/>
  <c r="L41" i="1" l="1"/>
  <c r="J42" i="1"/>
  <c r="I42" i="1"/>
  <c r="K42" i="1" s="1"/>
  <c r="L42" i="1" l="1"/>
</calcChain>
</file>

<file path=xl/sharedStrings.xml><?xml version="1.0" encoding="utf-8"?>
<sst xmlns="http://schemas.openxmlformats.org/spreadsheetml/2006/main" count="30" uniqueCount="27">
  <si>
    <t>N</t>
  </si>
  <si>
    <t>Rash, gr</t>
  </si>
  <si>
    <t>Rash, kg</t>
  </si>
  <si>
    <t>m. min</t>
  </si>
  <si>
    <t>m.max</t>
  </si>
  <si>
    <t>m min kg</t>
  </si>
  <si>
    <t>m max kg</t>
  </si>
  <si>
    <t>m sr</t>
  </si>
  <si>
    <t>m sr kg</t>
  </si>
  <si>
    <t>d sopl</t>
  </si>
  <si>
    <t>A sopl</t>
  </si>
  <si>
    <t>d sopl m</t>
  </si>
  <si>
    <t>A atm</t>
  </si>
  <si>
    <t>N = Q * P</t>
  </si>
  <si>
    <t>P pask</t>
  </si>
  <si>
    <t>N = (m * v^2) / 2</t>
  </si>
  <si>
    <t>F</t>
  </si>
  <si>
    <t>koeff</t>
  </si>
  <si>
    <t>v = F / m * koeff</t>
  </si>
  <si>
    <t>N1 / N 2</t>
  </si>
  <si>
    <t>Udar kg</t>
  </si>
  <si>
    <t>N1 / N2</t>
  </si>
  <si>
    <t>P pasc</t>
  </si>
  <si>
    <t>P atm</t>
  </si>
  <si>
    <t>R kg/sec</t>
  </si>
  <si>
    <t>N1 = Q * P</t>
  </si>
  <si>
    <t>N2 = (m * v^2)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</si>
</sst>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8BC45-85C9-4B83-9D94-FADEC830A4A1}">
  <dimension ref="A1:T1048576"/>
  <sheetViews>
    <sheetView tabSelected="1" topLeftCell="A29" zoomScale="160" zoomScaleNormal="160" workbookViewId="0">
      <selection activeCell="F54" sqref="F54"/>
    </sheetView>
  </sheetViews>
  <sheetFormatPr defaultRowHeight="14.4" x14ac:dyDescent="0.3"/>
  <cols>
    <col min="3" max="3" width="14.33203125" customWidth="1"/>
    <col min="4" max="4" width="16.88671875" customWidth="1"/>
    <col min="5" max="6" width="12" bestFit="1" customWidth="1"/>
    <col min="8" max="8" width="10" bestFit="1" customWidth="1"/>
    <col min="9" max="9" width="14.5546875" customWidth="1"/>
    <col min="10" max="10" width="12" bestFit="1" customWidth="1"/>
    <col min="11" max="11" width="14.88671875" customWidth="1"/>
    <col min="12" max="12" width="12.109375" bestFit="1" customWidth="1"/>
    <col min="13" max="15" width="12" bestFit="1" customWidth="1"/>
    <col min="16" max="16" width="16" customWidth="1"/>
    <col min="17" max="17" width="8.5546875" customWidth="1"/>
    <col min="18" max="18" width="22.33203125" customWidth="1"/>
    <col min="19" max="19" width="15.109375" customWidth="1"/>
    <col min="20" max="20" width="10" customWidth="1"/>
    <col min="21" max="21" width="12" bestFit="1" customWidth="1"/>
    <col min="23" max="24" width="12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10</v>
      </c>
      <c r="M1" t="s">
        <v>12</v>
      </c>
      <c r="N1" t="s">
        <v>14</v>
      </c>
      <c r="O1" t="s">
        <v>13</v>
      </c>
      <c r="P1" t="s">
        <v>16</v>
      </c>
      <c r="Q1" t="s">
        <v>17</v>
      </c>
      <c r="R1" t="s">
        <v>18</v>
      </c>
      <c r="S1" t="s">
        <v>15</v>
      </c>
      <c r="T1" t="s">
        <v>19</v>
      </c>
    </row>
    <row r="2" spans="1:20" x14ac:dyDescent="0.3">
      <c r="A2">
        <v>1</v>
      </c>
      <c r="B2" s="1">
        <v>144</v>
      </c>
      <c r="C2">
        <f>B2/1000</f>
        <v>0.14399999999999999</v>
      </c>
      <c r="D2" s="1">
        <v>224</v>
      </c>
      <c r="E2" s="1">
        <v>250</v>
      </c>
      <c r="F2">
        <f>D2/1000</f>
        <v>0.224</v>
      </c>
      <c r="G2">
        <f>E2/1000</f>
        <v>0.25</v>
      </c>
      <c r="H2">
        <f>(D2+E2)/2</f>
        <v>237</v>
      </c>
      <c r="I2">
        <f>H2/1000</f>
        <v>0.23699999999999999</v>
      </c>
      <c r="J2" s="1">
        <f>4.5</f>
        <v>4.5</v>
      </c>
      <c r="K2">
        <f>J2/1000</f>
        <v>4.4999999999999997E-3</v>
      </c>
      <c r="L2">
        <f>3.141592*(K2/2)*(K2/2)</f>
        <v>1.5904309499999999E-5</v>
      </c>
      <c r="M2" s="1">
        <v>0.9</v>
      </c>
      <c r="N2">
        <f>M2*101000</f>
        <v>90900</v>
      </c>
      <c r="O2">
        <f>C2*N2/1000</f>
        <v>13.089599999999999</v>
      </c>
      <c r="P2">
        <f>I2*9.8</f>
        <v>2.3226</v>
      </c>
      <c r="Q2" s="1">
        <v>1</v>
      </c>
      <c r="R2">
        <f>P2/C2*Q2</f>
        <v>16.129166666666666</v>
      </c>
      <c r="S2">
        <f>(C2*R2*R2)/2</f>
        <v>18.730801249999999</v>
      </c>
      <c r="T2">
        <f>S2/O2</f>
        <v>1.4309681923053417</v>
      </c>
    </row>
    <row r="3" spans="1:20" x14ac:dyDescent="0.3">
      <c r="A3">
        <f>A2+1</f>
        <v>2</v>
      </c>
      <c r="B3" s="1">
        <v>161</v>
      </c>
      <c r="C3">
        <f>B3/1000</f>
        <v>0.161</v>
      </c>
      <c r="D3" s="1">
        <v>216</v>
      </c>
      <c r="E3" s="1">
        <v>240</v>
      </c>
      <c r="F3">
        <f>D3/1000</f>
        <v>0.216</v>
      </c>
      <c r="G3">
        <f>E3/1000</f>
        <v>0.24</v>
      </c>
      <c r="H3">
        <f>(D3+E3)/2</f>
        <v>228</v>
      </c>
      <c r="I3">
        <f>H3/1000</f>
        <v>0.22800000000000001</v>
      </c>
      <c r="J3">
        <f>J2</f>
        <v>4.5</v>
      </c>
      <c r="K3">
        <f>J3/1000</f>
        <v>4.4999999999999997E-3</v>
      </c>
      <c r="L3">
        <f>3.141592*(K3/2)*(K3/2)</f>
        <v>1.5904309499999999E-5</v>
      </c>
      <c r="M3">
        <f>M2</f>
        <v>0.9</v>
      </c>
      <c r="N3">
        <f>M3*101000</f>
        <v>90900</v>
      </c>
      <c r="O3">
        <f>C3*N3/1000</f>
        <v>14.6349</v>
      </c>
      <c r="P3">
        <f>I3*9.8</f>
        <v>2.2344000000000004</v>
      </c>
      <c r="Q3">
        <f>Q2</f>
        <v>1</v>
      </c>
      <c r="R3">
        <f>P3/C3*Q3</f>
        <v>13.878260869565219</v>
      </c>
      <c r="S3">
        <f>(C3*R3*R3)/2</f>
        <v>15.504793043478266</v>
      </c>
      <c r="T3">
        <f>S3/O3</f>
        <v>1.0594396301633948</v>
      </c>
    </row>
    <row r="4" spans="1:20" x14ac:dyDescent="0.3">
      <c r="A4">
        <f>A3+1</f>
        <v>3</v>
      </c>
      <c r="B4" s="1">
        <v>150</v>
      </c>
      <c r="C4">
        <f>B4/1000</f>
        <v>0.15</v>
      </c>
      <c r="D4" s="1">
        <v>220</v>
      </c>
      <c r="E4" s="1">
        <v>250</v>
      </c>
      <c r="F4">
        <f>D4/1000</f>
        <v>0.22</v>
      </c>
      <c r="G4">
        <f>E4/1000</f>
        <v>0.25</v>
      </c>
      <c r="H4">
        <f>(D4+E4)/2</f>
        <v>235</v>
      </c>
      <c r="I4">
        <f>H4/1000</f>
        <v>0.23499999999999999</v>
      </c>
      <c r="J4">
        <f>J3</f>
        <v>4.5</v>
      </c>
      <c r="K4">
        <f>J4/1000</f>
        <v>4.4999999999999997E-3</v>
      </c>
      <c r="L4">
        <f>3.141592*(K4/2)*(K4/2)</f>
        <v>1.5904309499999999E-5</v>
      </c>
      <c r="M4">
        <f>M3</f>
        <v>0.9</v>
      </c>
      <c r="N4">
        <f>M4*101000</f>
        <v>90900</v>
      </c>
      <c r="O4">
        <f>C4*N4/1000</f>
        <v>13.635</v>
      </c>
      <c r="P4">
        <f>I4*9.8</f>
        <v>2.3029999999999999</v>
      </c>
      <c r="Q4">
        <f>Q3</f>
        <v>1</v>
      </c>
      <c r="R4">
        <f>P4/C4*Q4</f>
        <v>15.353333333333333</v>
      </c>
      <c r="S4">
        <f>(C4*R4*R4)/2</f>
        <v>17.679363333333335</v>
      </c>
      <c r="T4">
        <f>S4/O4</f>
        <v>1.296616306075052</v>
      </c>
    </row>
    <row r="5" spans="1:20" x14ac:dyDescent="0.3">
      <c r="A5">
        <f>A4+1</f>
        <v>4</v>
      </c>
      <c r="B5" s="1">
        <v>142</v>
      </c>
      <c r="C5">
        <f>B5/1000</f>
        <v>0.14199999999999999</v>
      </c>
      <c r="D5" s="1">
        <v>215</v>
      </c>
      <c r="E5" s="1">
        <v>289</v>
      </c>
      <c r="F5">
        <f>D5/1000</f>
        <v>0.215</v>
      </c>
      <c r="G5">
        <f>E5/1000</f>
        <v>0.28899999999999998</v>
      </c>
      <c r="H5">
        <f>(D5+E5)/2</f>
        <v>252</v>
      </c>
      <c r="I5">
        <f>H5/1000</f>
        <v>0.252</v>
      </c>
      <c r="J5">
        <f>J4</f>
        <v>4.5</v>
      </c>
      <c r="K5">
        <f>J5/1000</f>
        <v>4.4999999999999997E-3</v>
      </c>
      <c r="L5">
        <f>3.141592*(K5/2)*(K5/2)</f>
        <v>1.5904309499999999E-5</v>
      </c>
      <c r="M5">
        <f>M4</f>
        <v>0.9</v>
      </c>
      <c r="N5">
        <f>M5*101000</f>
        <v>90900</v>
      </c>
      <c r="O5">
        <f>C5*N5/1000</f>
        <v>12.9078</v>
      </c>
      <c r="P5">
        <f>I5*9.8</f>
        <v>2.4696000000000002</v>
      </c>
      <c r="Q5">
        <f>Q4</f>
        <v>1</v>
      </c>
      <c r="R5">
        <f>P5/C5*Q5</f>
        <v>17.391549295774652</v>
      </c>
      <c r="S5">
        <f>(C5*R5*R5)/2</f>
        <v>21.475085070422544</v>
      </c>
      <c r="T5">
        <f>S5/O5</f>
        <v>1.6637293009205709</v>
      </c>
    </row>
    <row r="6" spans="1:20" x14ac:dyDescent="0.3">
      <c r="A6">
        <f>A5+1</f>
        <v>5</v>
      </c>
      <c r="B6" s="1">
        <v>161</v>
      </c>
      <c r="C6">
        <f>B6/1000</f>
        <v>0.161</v>
      </c>
      <c r="D6" s="1">
        <v>249</v>
      </c>
      <c r="E6" s="1">
        <v>269</v>
      </c>
      <c r="F6">
        <f>D6/1000</f>
        <v>0.249</v>
      </c>
      <c r="G6">
        <f>E6/1000</f>
        <v>0.26900000000000002</v>
      </c>
      <c r="H6">
        <f>(D6+E6)/2</f>
        <v>259</v>
      </c>
      <c r="I6">
        <f>H6/1000</f>
        <v>0.25900000000000001</v>
      </c>
      <c r="J6">
        <f>J5</f>
        <v>4.5</v>
      </c>
      <c r="K6">
        <f>J6/1000</f>
        <v>4.4999999999999997E-3</v>
      </c>
      <c r="L6">
        <f>3.141592*(K6/2)*(K6/2)</f>
        <v>1.5904309499999999E-5</v>
      </c>
      <c r="M6">
        <f>M5</f>
        <v>0.9</v>
      </c>
      <c r="N6">
        <f>M6*101000</f>
        <v>90900</v>
      </c>
      <c r="O6">
        <f>C6*N6/1000</f>
        <v>14.6349</v>
      </c>
      <c r="P6">
        <f>I6*9.8</f>
        <v>2.5382000000000002</v>
      </c>
      <c r="Q6">
        <f>Q5</f>
        <v>1</v>
      </c>
      <c r="R6">
        <f>P6/C6*Q6</f>
        <v>15.765217391304349</v>
      </c>
      <c r="S6">
        <f>(C6*R6*R6)/2</f>
        <v>20.00763739130435</v>
      </c>
      <c r="T6">
        <f>S6/O6</f>
        <v>1.3671181484878168</v>
      </c>
    </row>
    <row r="7" spans="1:20" x14ac:dyDescent="0.3">
      <c r="A7">
        <f>A6+1</f>
        <v>6</v>
      </c>
      <c r="B7" s="1">
        <v>173</v>
      </c>
      <c r="C7">
        <f>B7/1000</f>
        <v>0.17299999999999999</v>
      </c>
      <c r="D7" s="1">
        <v>228</v>
      </c>
      <c r="E7" s="1">
        <v>258</v>
      </c>
      <c r="F7">
        <f>D7/1000</f>
        <v>0.22800000000000001</v>
      </c>
      <c r="G7">
        <f>E7/1000</f>
        <v>0.25800000000000001</v>
      </c>
      <c r="H7">
        <f>(D7+E7)/2</f>
        <v>243</v>
      </c>
      <c r="I7">
        <f>H7/1000</f>
        <v>0.24299999999999999</v>
      </c>
      <c r="J7">
        <f>J6</f>
        <v>4.5</v>
      </c>
      <c r="K7">
        <f>J7/1000</f>
        <v>4.4999999999999997E-3</v>
      </c>
      <c r="L7">
        <f>3.141592*(K7/2)*(K7/2)</f>
        <v>1.5904309499999999E-5</v>
      </c>
      <c r="M7">
        <f>M6</f>
        <v>0.9</v>
      </c>
      <c r="N7">
        <f>M7*101000</f>
        <v>90900</v>
      </c>
      <c r="O7">
        <f>C7*N7/1000</f>
        <v>15.7257</v>
      </c>
      <c r="P7">
        <f>I7*9.8</f>
        <v>2.3814000000000002</v>
      </c>
      <c r="Q7">
        <f>Q6</f>
        <v>1</v>
      </c>
      <c r="R7">
        <f>P7/C7*Q7</f>
        <v>13.765317919075146</v>
      </c>
      <c r="S7">
        <f>(C7*R7*R7)/2</f>
        <v>16.390364046242777</v>
      </c>
      <c r="T7">
        <f>S7/O7</f>
        <v>1.0422661023829003</v>
      </c>
    </row>
    <row r="8" spans="1:20" x14ac:dyDescent="0.3">
      <c r="A8">
        <f>A7+1</f>
        <v>7</v>
      </c>
      <c r="B8" s="1">
        <v>209</v>
      </c>
      <c r="C8">
        <f>B8/1000</f>
        <v>0.20899999999999999</v>
      </c>
      <c r="D8" s="1">
        <v>235</v>
      </c>
      <c r="E8" s="1">
        <v>266</v>
      </c>
      <c r="F8">
        <f>D8/1000</f>
        <v>0.23499999999999999</v>
      </c>
      <c r="G8">
        <f>E8/1000</f>
        <v>0.26600000000000001</v>
      </c>
      <c r="H8">
        <f>(D8+E8)/2</f>
        <v>250.5</v>
      </c>
      <c r="I8">
        <f>H8/1000</f>
        <v>0.2505</v>
      </c>
      <c r="J8">
        <f>J7</f>
        <v>4.5</v>
      </c>
      <c r="K8">
        <f>J8/1000</f>
        <v>4.4999999999999997E-3</v>
      </c>
      <c r="L8">
        <f>3.141592*(K8/2)*(K8/2)</f>
        <v>1.5904309499999999E-5</v>
      </c>
      <c r="M8">
        <f>M7</f>
        <v>0.9</v>
      </c>
      <c r="N8">
        <f>M8*101000</f>
        <v>90900</v>
      </c>
      <c r="O8">
        <f>C8*N8/1000</f>
        <v>18.998099999999997</v>
      </c>
      <c r="P8">
        <f>I8*9.8</f>
        <v>2.4549000000000003</v>
      </c>
      <c r="Q8">
        <f>Q7</f>
        <v>1</v>
      </c>
      <c r="R8">
        <f>P8/C8*Q8</f>
        <v>11.745933014354069</v>
      </c>
      <c r="S8">
        <f>(C8*R8*R8)/2</f>
        <v>14.417545478468904</v>
      </c>
      <c r="T8">
        <f>S8/O8</f>
        <v>0.75889407248455931</v>
      </c>
    </row>
    <row r="9" spans="1:20" x14ac:dyDescent="0.3">
      <c r="A9">
        <f>A8+1</f>
        <v>8</v>
      </c>
      <c r="B9" s="1">
        <v>172</v>
      </c>
      <c r="C9">
        <f>B9/1000</f>
        <v>0.17199999999999999</v>
      </c>
      <c r="D9" s="1">
        <v>233</v>
      </c>
      <c r="E9" s="1">
        <v>261</v>
      </c>
      <c r="F9">
        <f>D9/1000</f>
        <v>0.23300000000000001</v>
      </c>
      <c r="G9">
        <f>E9/1000</f>
        <v>0.26100000000000001</v>
      </c>
      <c r="H9">
        <f>(D9+E9)/2</f>
        <v>247</v>
      </c>
      <c r="I9">
        <f>H9/1000</f>
        <v>0.247</v>
      </c>
      <c r="J9">
        <f>J8</f>
        <v>4.5</v>
      </c>
      <c r="K9">
        <f>J9/1000</f>
        <v>4.4999999999999997E-3</v>
      </c>
      <c r="L9">
        <f>3.141592*(K9/2)*(K9/2)</f>
        <v>1.5904309499999999E-5</v>
      </c>
      <c r="M9">
        <f>M8</f>
        <v>0.9</v>
      </c>
      <c r="N9">
        <f>M9*101000</f>
        <v>90900</v>
      </c>
      <c r="O9">
        <f>C9*N9/1000</f>
        <v>15.634799999999998</v>
      </c>
      <c r="P9">
        <f>I9*9.8</f>
        <v>2.4206000000000003</v>
      </c>
      <c r="Q9">
        <f>Q8</f>
        <v>1</v>
      </c>
      <c r="R9">
        <f>P9/C9*Q9</f>
        <v>14.073255813953491</v>
      </c>
      <c r="S9">
        <f>(C9*R9*R9)/2</f>
        <v>17.032861511627914</v>
      </c>
      <c r="T9">
        <f>S9/O9</f>
        <v>1.089419852612628</v>
      </c>
    </row>
    <row r="10" spans="1:20" x14ac:dyDescent="0.3">
      <c r="A10">
        <f>A9+1</f>
        <v>9</v>
      </c>
      <c r="B10" s="1">
        <v>193</v>
      </c>
      <c r="C10">
        <f>B10/1000</f>
        <v>0.193</v>
      </c>
      <c r="D10" s="1">
        <v>245</v>
      </c>
      <c r="E10" s="1">
        <v>275</v>
      </c>
      <c r="F10">
        <f>D10/1000</f>
        <v>0.245</v>
      </c>
      <c r="G10">
        <f>E10/1000</f>
        <v>0.27500000000000002</v>
      </c>
      <c r="H10">
        <f>(D10+E10)/2</f>
        <v>260</v>
      </c>
      <c r="I10">
        <f>H10/1000</f>
        <v>0.26</v>
      </c>
      <c r="J10">
        <f>J9</f>
        <v>4.5</v>
      </c>
      <c r="K10">
        <f>J10/1000</f>
        <v>4.4999999999999997E-3</v>
      </c>
      <c r="L10">
        <f>3.141592*(K10/2)*(K10/2)</f>
        <v>1.5904309499999999E-5</v>
      </c>
      <c r="M10">
        <f>M9</f>
        <v>0.9</v>
      </c>
      <c r="N10">
        <f>M10*101000</f>
        <v>90900</v>
      </c>
      <c r="O10">
        <f>C10*N10/1000</f>
        <v>17.543700000000001</v>
      </c>
      <c r="P10">
        <f>I10*9.8</f>
        <v>2.5480000000000005</v>
      </c>
      <c r="Q10">
        <f>Q9</f>
        <v>1</v>
      </c>
      <c r="R10">
        <f>P10/C10*Q10</f>
        <v>13.202072538860106</v>
      </c>
      <c r="S10">
        <f>(C10*R10*R10)/2</f>
        <v>16.819440414507778</v>
      </c>
      <c r="T10">
        <f>S10/O10</f>
        <v>0.95871682795007762</v>
      </c>
    </row>
    <row r="11" spans="1:20" x14ac:dyDescent="0.3">
      <c r="A11">
        <f>A10+1</f>
        <v>10</v>
      </c>
      <c r="B11" s="1">
        <v>200</v>
      </c>
      <c r="C11">
        <f>B11/1000</f>
        <v>0.2</v>
      </c>
      <c r="D11" s="1">
        <v>250</v>
      </c>
      <c r="E11" s="1">
        <v>280</v>
      </c>
      <c r="F11">
        <f>D11/1000</f>
        <v>0.25</v>
      </c>
      <c r="G11">
        <f>E11/1000</f>
        <v>0.28000000000000003</v>
      </c>
      <c r="H11">
        <f>(D11+E11)/2</f>
        <v>265</v>
      </c>
      <c r="I11">
        <f>H11/1000</f>
        <v>0.26500000000000001</v>
      </c>
      <c r="J11">
        <f>J10</f>
        <v>4.5</v>
      </c>
      <c r="K11">
        <f>J11/1000</f>
        <v>4.4999999999999997E-3</v>
      </c>
      <c r="L11">
        <f>3.141592*(K11/2)*(K11/2)</f>
        <v>1.5904309499999999E-5</v>
      </c>
      <c r="M11">
        <f>M10</f>
        <v>0.9</v>
      </c>
      <c r="N11">
        <f>M11*101000</f>
        <v>90900</v>
      </c>
      <c r="O11">
        <f>C11*N11/1000</f>
        <v>18.18</v>
      </c>
      <c r="P11">
        <f>I11*9.8</f>
        <v>2.5970000000000004</v>
      </c>
      <c r="Q11">
        <f>Q10</f>
        <v>1</v>
      </c>
      <c r="R11">
        <f>P11/C11*Q11</f>
        <v>12.985000000000001</v>
      </c>
      <c r="S11">
        <f>(C11*R11*R11)/2</f>
        <v>16.861022500000004</v>
      </c>
      <c r="T11">
        <f>S11/O11</f>
        <v>0.92744898239824003</v>
      </c>
    </row>
    <row r="12" spans="1:20" x14ac:dyDescent="0.3">
      <c r="A12" s="4">
        <f>A11+1</f>
        <v>11</v>
      </c>
      <c r="B12" s="4">
        <v>192</v>
      </c>
      <c r="C12" s="4">
        <f>B12/1000</f>
        <v>0.192</v>
      </c>
      <c r="D12" s="4">
        <v>282</v>
      </c>
      <c r="E12" s="4">
        <v>282</v>
      </c>
      <c r="F12" s="4">
        <f>D12/1000</f>
        <v>0.28199999999999997</v>
      </c>
      <c r="G12" s="4">
        <f>E12/1000</f>
        <v>0.28199999999999997</v>
      </c>
      <c r="H12" s="4">
        <f>(D12+E12)/2</f>
        <v>282</v>
      </c>
      <c r="I12" s="4">
        <f>H12/1000</f>
        <v>0.28199999999999997</v>
      </c>
      <c r="J12" s="4">
        <v>4.5999999999999996</v>
      </c>
      <c r="K12" s="4">
        <f>J12/1000</f>
        <v>4.5999999999999999E-3</v>
      </c>
      <c r="L12" s="4">
        <f>3.141592*(K12/2)*(K12/2)</f>
        <v>1.661902168E-5</v>
      </c>
      <c r="M12" s="4">
        <v>1</v>
      </c>
      <c r="N12" s="4">
        <f>M12*101000</f>
        <v>101000</v>
      </c>
      <c r="O12" s="4">
        <f>C12*N12/1000</f>
        <v>19.391999999999999</v>
      </c>
      <c r="P12" s="4">
        <f>I12*9.8</f>
        <v>2.7635999999999998</v>
      </c>
      <c r="Q12" s="4">
        <f>Q11</f>
        <v>1</v>
      </c>
      <c r="R12" s="4">
        <f>P12/C12*Q12</f>
        <v>14.393749999999999</v>
      </c>
      <c r="S12" s="4">
        <f>(C12*R12*R12)/2</f>
        <v>19.889283749999997</v>
      </c>
      <c r="T12" s="4">
        <f>S12/O12</f>
        <v>1.0256437577351485</v>
      </c>
    </row>
    <row r="13" spans="1:20" ht="12" customHeight="1" x14ac:dyDescent="0.3">
      <c r="A13">
        <f>A12+1</f>
        <v>12</v>
      </c>
      <c r="B13" s="1">
        <v>270</v>
      </c>
      <c r="C13">
        <f>B13/1000</f>
        <v>0.27</v>
      </c>
      <c r="D13" s="1">
        <v>655</v>
      </c>
      <c r="E13" s="1">
        <v>655</v>
      </c>
      <c r="F13">
        <f>D13/1000</f>
        <v>0.65500000000000003</v>
      </c>
      <c r="G13">
        <f>E13/1000</f>
        <v>0.65500000000000003</v>
      </c>
      <c r="H13">
        <f>(D13+E13)/2</f>
        <v>655</v>
      </c>
      <c r="I13">
        <f>H13/1000</f>
        <v>0.65500000000000003</v>
      </c>
      <c r="J13">
        <v>4.5999999999999996</v>
      </c>
      <c r="K13">
        <f>J13/1000</f>
        <v>4.5999999999999999E-3</v>
      </c>
      <c r="L13">
        <f>3.141592*(K13/2)*(K13/2)</f>
        <v>1.661902168E-5</v>
      </c>
      <c r="M13" s="1">
        <v>2</v>
      </c>
      <c r="N13">
        <f>M13*101000</f>
        <v>202000</v>
      </c>
      <c r="O13">
        <f>C13*N13/1000</f>
        <v>54.54</v>
      </c>
      <c r="P13">
        <f>I13*9.8</f>
        <v>6.4190000000000005</v>
      </c>
      <c r="Q13">
        <f>Q12</f>
        <v>1</v>
      </c>
      <c r="R13">
        <f>P13/C13*Q13</f>
        <v>23.774074074074075</v>
      </c>
      <c r="S13">
        <f>(C13*R13*R13)/2</f>
        <v>76.30289074074075</v>
      </c>
      <c r="T13">
        <f>S13/O13</f>
        <v>1.3990262328702008</v>
      </c>
    </row>
    <row r="15" spans="1:20" x14ac:dyDescent="0.3">
      <c r="A15">
        <f>A14+1</f>
        <v>1</v>
      </c>
      <c r="B15" s="1">
        <v>135</v>
      </c>
      <c r="C15">
        <f>B15/1000</f>
        <v>0.13500000000000001</v>
      </c>
      <c r="D15" s="1">
        <v>206</v>
      </c>
      <c r="E15" s="1">
        <v>260</v>
      </c>
      <c r="F15">
        <f>D15/1000</f>
        <v>0.20599999999999999</v>
      </c>
      <c r="G15">
        <f>E15/1000</f>
        <v>0.26</v>
      </c>
      <c r="H15">
        <f>(D15+E15)/2</f>
        <v>233</v>
      </c>
      <c r="I15">
        <f>H15/1000</f>
        <v>0.23300000000000001</v>
      </c>
      <c r="J15">
        <v>4.5999999999999996</v>
      </c>
      <c r="K15">
        <f>J15/1000</f>
        <v>4.5999999999999999E-3</v>
      </c>
      <c r="L15">
        <f>3.141592*(K15/2)*(K15/2)</f>
        <v>1.661902168E-5</v>
      </c>
      <c r="M15" s="1">
        <v>0.9</v>
      </c>
      <c r="N15">
        <f>M15*101000</f>
        <v>90900</v>
      </c>
      <c r="O15">
        <f>C15*N15/1000</f>
        <v>12.2715</v>
      </c>
      <c r="P15">
        <f>I15*9.8</f>
        <v>2.2834000000000003</v>
      </c>
      <c r="Q15" s="1">
        <v>1.4</v>
      </c>
      <c r="R15">
        <f>P15/C15*Q15</f>
        <v>23.679703703703705</v>
      </c>
      <c r="S15">
        <f>(C15*R15*R15)/2</f>
        <v>37.84916480592593</v>
      </c>
      <c r="T15">
        <f>S15/O15</f>
        <v>3.0843144526688615</v>
      </c>
    </row>
    <row r="16" spans="1:20" x14ac:dyDescent="0.3">
      <c r="A16">
        <f>A15+1</f>
        <v>2</v>
      </c>
      <c r="B16" s="1">
        <v>163</v>
      </c>
      <c r="C16">
        <f>B16/1000</f>
        <v>0.16300000000000001</v>
      </c>
      <c r="D16" s="1">
        <v>220</v>
      </c>
      <c r="E16" s="1">
        <v>270</v>
      </c>
      <c r="F16">
        <f>D16/1000</f>
        <v>0.22</v>
      </c>
      <c r="G16">
        <f>E16/1000</f>
        <v>0.27</v>
      </c>
      <c r="H16">
        <f>(D16+E16)/2</f>
        <v>245</v>
      </c>
      <c r="I16">
        <f>H16/1000</f>
        <v>0.245</v>
      </c>
      <c r="J16">
        <v>4.5999999999999996</v>
      </c>
      <c r="K16">
        <f>J16/1000</f>
        <v>4.5999999999999999E-3</v>
      </c>
      <c r="L16">
        <f>3.141592*(K16/2)*(K16/2)</f>
        <v>1.661902168E-5</v>
      </c>
      <c r="M16" s="1">
        <f>M15</f>
        <v>0.9</v>
      </c>
      <c r="N16">
        <f>M16*101000</f>
        <v>90900</v>
      </c>
      <c r="O16">
        <f>C16*N16/1000</f>
        <v>14.816700000000001</v>
      </c>
      <c r="P16">
        <f>I16*9.8</f>
        <v>2.4010000000000002</v>
      </c>
      <c r="Q16">
        <f>Q15</f>
        <v>1.4</v>
      </c>
      <c r="R16">
        <f>P16/C16*Q16</f>
        <v>20.622085889570553</v>
      </c>
      <c r="S16">
        <f>(C16*R16*R16)/2</f>
        <v>34.659539754601226</v>
      </c>
      <c r="T16">
        <f>S16/O16</f>
        <v>2.3392212675292896</v>
      </c>
    </row>
    <row r="17" spans="1:20" x14ac:dyDescent="0.3">
      <c r="A17">
        <f>A16+1</f>
        <v>3</v>
      </c>
      <c r="B17" s="1">
        <v>152</v>
      </c>
      <c r="C17">
        <f>B17/1000</f>
        <v>0.152</v>
      </c>
      <c r="D17" s="1">
        <v>180</v>
      </c>
      <c r="E17" s="1">
        <v>230</v>
      </c>
      <c r="F17">
        <f>D17/1000</f>
        <v>0.18</v>
      </c>
      <c r="G17">
        <f>E17/1000</f>
        <v>0.23</v>
      </c>
      <c r="H17">
        <f>(D17+E17)/2</f>
        <v>205</v>
      </c>
      <c r="I17">
        <f>H17/1000</f>
        <v>0.20499999999999999</v>
      </c>
      <c r="J17">
        <v>4.5999999999999996</v>
      </c>
      <c r="K17">
        <f>J17/1000</f>
        <v>4.5999999999999999E-3</v>
      </c>
      <c r="L17">
        <f>3.141592*(K17/2)*(K17/2)</f>
        <v>1.661902168E-5</v>
      </c>
      <c r="M17" s="1">
        <f>M16</f>
        <v>0.9</v>
      </c>
      <c r="N17">
        <f>M17*101000</f>
        <v>90900</v>
      </c>
      <c r="O17">
        <f>C17*N17/1000</f>
        <v>13.816799999999999</v>
      </c>
      <c r="P17">
        <f>I17*9.8</f>
        <v>2.0089999999999999</v>
      </c>
      <c r="Q17">
        <f>Q16</f>
        <v>1.4</v>
      </c>
      <c r="R17">
        <f>P17/C17*Q17</f>
        <v>18.503947368421048</v>
      </c>
      <c r="S17">
        <f>(C17*R17*R17)/2</f>
        <v>26.022101184210513</v>
      </c>
      <c r="T17">
        <f>S17/O17</f>
        <v>1.8833667118443138</v>
      </c>
    </row>
    <row r="18" spans="1:20" x14ac:dyDescent="0.3">
      <c r="A18">
        <f>A17+1</f>
        <v>4</v>
      </c>
      <c r="B18" s="1">
        <v>168</v>
      </c>
      <c r="C18">
        <f>B18/1000</f>
        <v>0.16800000000000001</v>
      </c>
      <c r="D18" s="1">
        <v>215</v>
      </c>
      <c r="E18" s="1">
        <v>280</v>
      </c>
      <c r="F18">
        <f>D18/1000</f>
        <v>0.215</v>
      </c>
      <c r="G18">
        <f>E18/1000</f>
        <v>0.28000000000000003</v>
      </c>
      <c r="H18">
        <f>(D18+E18)/2</f>
        <v>247.5</v>
      </c>
      <c r="I18">
        <f>H18/1000</f>
        <v>0.2475</v>
      </c>
      <c r="J18">
        <v>4.5999999999999996</v>
      </c>
      <c r="K18">
        <f>J18/1000</f>
        <v>4.5999999999999999E-3</v>
      </c>
      <c r="L18">
        <f>3.141592*(K18/2)*(K18/2)</f>
        <v>1.661902168E-5</v>
      </c>
      <c r="M18" s="1">
        <f>M17</f>
        <v>0.9</v>
      </c>
      <c r="N18">
        <f>M18*101000</f>
        <v>90900</v>
      </c>
      <c r="O18">
        <f>C18*N18/1000</f>
        <v>15.2712</v>
      </c>
      <c r="P18">
        <f>I18*9.8</f>
        <v>2.4255</v>
      </c>
      <c r="Q18">
        <f>Q17</f>
        <v>1.4</v>
      </c>
      <c r="R18">
        <f>P18/C18*Q18</f>
        <v>20.212499999999995</v>
      </c>
      <c r="S18">
        <f>(C18*R18*R18)/2</f>
        <v>34.317793124999987</v>
      </c>
      <c r="T18">
        <f>S18/O18</f>
        <v>2.2472230816831673</v>
      </c>
    </row>
    <row r="19" spans="1:20" x14ac:dyDescent="0.3">
      <c r="A19">
        <f>A18+1</f>
        <v>5</v>
      </c>
      <c r="B19" s="1">
        <v>178</v>
      </c>
      <c r="C19">
        <f>B19/1000</f>
        <v>0.17799999999999999</v>
      </c>
      <c r="D19" s="1">
        <v>240</v>
      </c>
      <c r="E19" s="1">
        <v>310</v>
      </c>
      <c r="F19">
        <f>D19/1000</f>
        <v>0.24</v>
      </c>
      <c r="G19">
        <f>E19/1000</f>
        <v>0.31</v>
      </c>
      <c r="H19">
        <f>(D19+E19)/2</f>
        <v>275</v>
      </c>
      <c r="I19">
        <f>H19/1000</f>
        <v>0.27500000000000002</v>
      </c>
      <c r="J19">
        <v>4.5999999999999996</v>
      </c>
      <c r="K19">
        <f>J19/1000</f>
        <v>4.5999999999999999E-3</v>
      </c>
      <c r="L19">
        <f>3.141592*(K19/2)*(K19/2)</f>
        <v>1.661902168E-5</v>
      </c>
      <c r="M19" s="1">
        <f>M18</f>
        <v>0.9</v>
      </c>
      <c r="N19">
        <f>M19*101000</f>
        <v>90900</v>
      </c>
      <c r="O19">
        <f>C19*N19/1000</f>
        <v>16.180199999999999</v>
      </c>
      <c r="P19">
        <f>I19*9.8</f>
        <v>2.6950000000000003</v>
      </c>
      <c r="Q19">
        <f>Q18</f>
        <v>1.4</v>
      </c>
      <c r="R19">
        <f>P19/C19*Q19</f>
        <v>21.196629213483149</v>
      </c>
      <c r="S19">
        <f>(C19*R19*R19)/2</f>
        <v>39.987441011235966</v>
      </c>
      <c r="T19">
        <f>S19/O19</f>
        <v>2.4713811331896989</v>
      </c>
    </row>
    <row r="20" spans="1:20" x14ac:dyDescent="0.3">
      <c r="A20">
        <f>A19+1</f>
        <v>6</v>
      </c>
      <c r="B20" s="1">
        <v>176</v>
      </c>
      <c r="C20">
        <f>B20/1000</f>
        <v>0.17599999999999999</v>
      </c>
      <c r="D20" s="1">
        <v>235</v>
      </c>
      <c r="E20" s="1">
        <v>290</v>
      </c>
      <c r="F20">
        <f>D20/1000</f>
        <v>0.23499999999999999</v>
      </c>
      <c r="G20">
        <f>E20/1000</f>
        <v>0.28999999999999998</v>
      </c>
      <c r="H20">
        <f>(D20+E20)/2</f>
        <v>262.5</v>
      </c>
      <c r="I20">
        <f>H20/1000</f>
        <v>0.26250000000000001</v>
      </c>
      <c r="J20">
        <v>4.5999999999999996</v>
      </c>
      <c r="K20">
        <f>J20/1000</f>
        <v>4.5999999999999999E-3</v>
      </c>
      <c r="L20">
        <f>3.141592*(K20/2)*(K20/2)</f>
        <v>1.661902168E-5</v>
      </c>
      <c r="M20" s="1">
        <f>M19</f>
        <v>0.9</v>
      </c>
      <c r="N20">
        <f>M20*101000</f>
        <v>90900</v>
      </c>
      <c r="O20">
        <f>C20*N20/1000</f>
        <v>15.9984</v>
      </c>
      <c r="P20">
        <f>I20*9.8</f>
        <v>2.5725000000000002</v>
      </c>
      <c r="Q20">
        <f>Q19</f>
        <v>1.4</v>
      </c>
      <c r="R20">
        <f>P20/C20*Q20</f>
        <v>20.463068181818183</v>
      </c>
      <c r="S20">
        <f>(C20*R20*R20)/2</f>
        <v>36.848870028409095</v>
      </c>
      <c r="T20">
        <f>S20/O20</f>
        <v>2.3032847052460932</v>
      </c>
    </row>
    <row r="21" spans="1:20" x14ac:dyDescent="0.3">
      <c r="A21">
        <f>A20+1</f>
        <v>7</v>
      </c>
      <c r="B21" s="1">
        <v>241</v>
      </c>
      <c r="C21">
        <f>B21/1000</f>
        <v>0.24099999999999999</v>
      </c>
      <c r="D21" s="1">
        <v>310</v>
      </c>
      <c r="E21" s="1">
        <v>370</v>
      </c>
      <c r="F21">
        <f>D21/1000</f>
        <v>0.31</v>
      </c>
      <c r="G21">
        <f>E21/1000</f>
        <v>0.37</v>
      </c>
      <c r="H21">
        <f>(D21+E21)/2</f>
        <v>340</v>
      </c>
      <c r="I21">
        <f>H21/1000</f>
        <v>0.34</v>
      </c>
      <c r="J21">
        <v>4.5999999999999996</v>
      </c>
      <c r="K21">
        <f>J21/1000</f>
        <v>4.5999999999999999E-3</v>
      </c>
      <c r="L21">
        <f>3.141592*(K21/2)*(K21/2)</f>
        <v>1.661902168E-5</v>
      </c>
      <c r="M21" s="1">
        <f>M20</f>
        <v>0.9</v>
      </c>
      <c r="N21">
        <f>M21*101000</f>
        <v>90900</v>
      </c>
      <c r="O21">
        <f>C21*N21/1000</f>
        <v>21.906899999999997</v>
      </c>
      <c r="P21">
        <f>I21*9.8</f>
        <v>3.3320000000000003</v>
      </c>
      <c r="Q21">
        <f>Q20</f>
        <v>1.4</v>
      </c>
      <c r="R21">
        <f>P21/C21*Q21</f>
        <v>19.356016597510376</v>
      </c>
      <c r="S21">
        <f>(C21*R21*R21)/2</f>
        <v>45.145973112033204</v>
      </c>
      <c r="T21">
        <f>S21/O21</f>
        <v>2.0608106629433287</v>
      </c>
    </row>
    <row r="22" spans="1:20" x14ac:dyDescent="0.3">
      <c r="A22" s="3">
        <f>A21+1</f>
        <v>8</v>
      </c>
      <c r="B22" s="3">
        <v>212</v>
      </c>
      <c r="C22" s="3">
        <f>B22/1000</f>
        <v>0.21199999999999999</v>
      </c>
      <c r="D22" s="3">
        <v>290</v>
      </c>
      <c r="E22" s="3">
        <v>380</v>
      </c>
      <c r="F22" s="3">
        <f>D22/1000</f>
        <v>0.28999999999999998</v>
      </c>
      <c r="G22" s="3">
        <f>E22/1000</f>
        <v>0.38</v>
      </c>
      <c r="H22" s="3">
        <f>(D22+E22)/2</f>
        <v>335</v>
      </c>
      <c r="I22" s="3">
        <f>H22/1000</f>
        <v>0.33500000000000002</v>
      </c>
      <c r="J22" s="3">
        <v>4.5999999999999996</v>
      </c>
      <c r="K22" s="3">
        <f>J22/1000</f>
        <v>4.5999999999999999E-3</v>
      </c>
      <c r="L22" s="3">
        <f>3.141592*(K22/2)*(K22/2)</f>
        <v>1.661902168E-5</v>
      </c>
      <c r="M22" s="3">
        <f>M21</f>
        <v>0.9</v>
      </c>
      <c r="N22" s="3">
        <f>M22*101000</f>
        <v>90900</v>
      </c>
      <c r="O22" s="3">
        <f>C22*N22/1000</f>
        <v>19.270799999999998</v>
      </c>
      <c r="P22" s="3">
        <f>I22*9.8</f>
        <v>3.2830000000000004</v>
      </c>
      <c r="Q22" s="3">
        <f>Q21</f>
        <v>1.4</v>
      </c>
      <c r="R22">
        <f>P22/C22*Q22</f>
        <v>21.680188679245283</v>
      </c>
      <c r="S22" s="3">
        <f>(C22*R22*R22)/2</f>
        <v>49.823241603773582</v>
      </c>
      <c r="T22" s="3">
        <f>S22/O22</f>
        <v>2.5854267390961239</v>
      </c>
    </row>
    <row r="23" spans="1:20" x14ac:dyDescent="0.3">
      <c r="A23">
        <f>A22+1</f>
        <v>9</v>
      </c>
      <c r="B23" s="1">
        <v>175</v>
      </c>
      <c r="C23">
        <f>B23/1000</f>
        <v>0.17499999999999999</v>
      </c>
      <c r="D23" s="1">
        <v>240</v>
      </c>
      <c r="E23" s="1">
        <v>304</v>
      </c>
      <c r="F23">
        <f>D23/1000</f>
        <v>0.24</v>
      </c>
      <c r="G23">
        <f>E23/1000</f>
        <v>0.30399999999999999</v>
      </c>
      <c r="H23">
        <f>(D23+E23)/2</f>
        <v>272</v>
      </c>
      <c r="I23">
        <f>H23/1000</f>
        <v>0.27200000000000002</v>
      </c>
      <c r="J23">
        <v>4.5999999999999996</v>
      </c>
      <c r="K23">
        <f>J23/1000</f>
        <v>4.5999999999999999E-3</v>
      </c>
      <c r="L23">
        <f>3.141592*(K23/2)*(K23/2)</f>
        <v>1.661902168E-5</v>
      </c>
      <c r="M23" s="1">
        <f>M22</f>
        <v>0.9</v>
      </c>
      <c r="N23">
        <f>M23*101000</f>
        <v>90900</v>
      </c>
      <c r="O23">
        <f>C23*N23/1000</f>
        <v>15.907499999999999</v>
      </c>
      <c r="P23">
        <f>I23*9.8</f>
        <v>2.6656000000000004</v>
      </c>
      <c r="Q23">
        <f>Q22</f>
        <v>1.4</v>
      </c>
      <c r="R23">
        <f>P23/C23*Q23</f>
        <v>21.324800000000003</v>
      </c>
      <c r="S23">
        <f>(C23*R23*R23)/2</f>
        <v>39.790370816000014</v>
      </c>
      <c r="T23">
        <f>S23/O23</f>
        <v>2.5013591586358648</v>
      </c>
    </row>
    <row r="24" spans="1:20" x14ac:dyDescent="0.3">
      <c r="A24">
        <f>A23+1</f>
        <v>10</v>
      </c>
      <c r="B24" s="1">
        <v>235</v>
      </c>
      <c r="C24">
        <f>B24/1000</f>
        <v>0.23499999999999999</v>
      </c>
      <c r="D24" s="1">
        <v>320</v>
      </c>
      <c r="E24" s="1">
        <v>405</v>
      </c>
      <c r="F24">
        <f>D24/1000</f>
        <v>0.32</v>
      </c>
      <c r="G24">
        <f>E24/1000</f>
        <v>0.40500000000000003</v>
      </c>
      <c r="H24">
        <f>(D24+E24)/2</f>
        <v>362.5</v>
      </c>
      <c r="I24">
        <f>H24/1000</f>
        <v>0.36249999999999999</v>
      </c>
      <c r="J24">
        <v>4.5999999999999996</v>
      </c>
      <c r="K24">
        <f>J24/1000</f>
        <v>4.5999999999999999E-3</v>
      </c>
      <c r="L24">
        <f>3.141592*(K24/2)*(K24/2)</f>
        <v>1.661902168E-5</v>
      </c>
      <c r="M24" s="1">
        <f>M23</f>
        <v>0.9</v>
      </c>
      <c r="N24">
        <f>M24*101000</f>
        <v>90900</v>
      </c>
      <c r="O24">
        <f>C24*N24/1000</f>
        <v>21.361499999999999</v>
      </c>
      <c r="P24">
        <f>I24*9.8</f>
        <v>3.5525000000000002</v>
      </c>
      <c r="Q24">
        <f>Q23</f>
        <v>1.4</v>
      </c>
      <c r="R24">
        <f>P24/C24*Q24</f>
        <v>21.163829787234043</v>
      </c>
      <c r="S24">
        <f>(C24*R24*R24)/2</f>
        <v>52.629153723404251</v>
      </c>
      <c r="T24">
        <f>S24/O24</f>
        <v>2.4637386758141635</v>
      </c>
    </row>
    <row r="25" spans="1:20" x14ac:dyDescent="0.3">
      <c r="A25" s="2">
        <f>A24+1</f>
        <v>11</v>
      </c>
      <c r="B25" s="2">
        <v>212</v>
      </c>
      <c r="C25" s="2">
        <f>B25/1000</f>
        <v>0.21199999999999999</v>
      </c>
      <c r="D25" s="2">
        <v>400</v>
      </c>
      <c r="E25" s="2">
        <v>510</v>
      </c>
      <c r="F25" s="2">
        <f>D25/1000</f>
        <v>0.4</v>
      </c>
      <c r="G25" s="2">
        <f>E25/1000</f>
        <v>0.51</v>
      </c>
      <c r="H25" s="2">
        <f>(D25+E25)/2</f>
        <v>455</v>
      </c>
      <c r="I25" s="2">
        <f>H25/1000</f>
        <v>0.45500000000000002</v>
      </c>
      <c r="J25" s="2">
        <v>4.5999999999999996</v>
      </c>
      <c r="K25" s="2">
        <f>J25/1000</f>
        <v>4.5999999999999999E-3</v>
      </c>
      <c r="L25" s="2">
        <f>3.141592*(K25/2)*(K25/2)</f>
        <v>1.661902168E-5</v>
      </c>
      <c r="M25" s="2">
        <f>M24</f>
        <v>0.9</v>
      </c>
      <c r="N25" s="2">
        <f>M25*101000</f>
        <v>90900</v>
      </c>
      <c r="O25" s="2">
        <f>C25*N25/1000</f>
        <v>19.270799999999998</v>
      </c>
      <c r="P25" s="2">
        <f>I25*9.8</f>
        <v>4.4590000000000005</v>
      </c>
      <c r="Q25" s="2">
        <v>1</v>
      </c>
      <c r="R25">
        <f>P25/C25*Q25</f>
        <v>21.033018867924532</v>
      </c>
      <c r="S25" s="2">
        <f>(C25*R25*R25)/2</f>
        <v>46.89311556603775</v>
      </c>
      <c r="T25" s="2">
        <f>S25/O25</f>
        <v>2.4333766925108327</v>
      </c>
    </row>
    <row r="26" spans="1:20" x14ac:dyDescent="0.3">
      <c r="A26">
        <f>A25+1</f>
        <v>12</v>
      </c>
      <c r="B26" s="1">
        <v>212</v>
      </c>
      <c r="C26">
        <f>B26/1000</f>
        <v>0.21199999999999999</v>
      </c>
      <c r="D26" s="1">
        <v>433</v>
      </c>
      <c r="E26" s="1">
        <v>537</v>
      </c>
      <c r="F26">
        <f>D26/1000</f>
        <v>0.433</v>
      </c>
      <c r="G26">
        <f>E26/1000</f>
        <v>0.53700000000000003</v>
      </c>
      <c r="H26">
        <f>(D26+E26)/2</f>
        <v>485</v>
      </c>
      <c r="I26">
        <f>H26/1000</f>
        <v>0.48499999999999999</v>
      </c>
      <c r="J26">
        <v>4.5999999999999996</v>
      </c>
      <c r="K26">
        <f>J26/1000</f>
        <v>4.5999999999999999E-3</v>
      </c>
      <c r="L26">
        <f>3.141592*(K26/2)*(K26/2)</f>
        <v>1.661902168E-5</v>
      </c>
      <c r="M26" s="1">
        <f>M25</f>
        <v>0.9</v>
      </c>
      <c r="N26">
        <f>M26*101000</f>
        <v>90900</v>
      </c>
      <c r="O26">
        <f>C26*N26/1000</f>
        <v>19.270799999999998</v>
      </c>
      <c r="P26">
        <f>I26*9.8</f>
        <v>4.7530000000000001</v>
      </c>
      <c r="Q26">
        <v>0.94</v>
      </c>
      <c r="R26">
        <f>P26/C26*Q26</f>
        <v>21.074622641509436</v>
      </c>
      <c r="S26">
        <f>(C26*R26*R26)/2</f>
        <v>47.078810265094347</v>
      </c>
      <c r="T26">
        <f>S26/O26</f>
        <v>2.4430127584269647</v>
      </c>
    </row>
    <row r="27" spans="1:20" x14ac:dyDescent="0.3">
      <c r="A27">
        <f>A26+1</f>
        <v>13</v>
      </c>
      <c r="B27" s="1">
        <v>212</v>
      </c>
      <c r="C27">
        <f>B27/1000</f>
        <v>0.21199999999999999</v>
      </c>
      <c r="D27" s="1">
        <v>370</v>
      </c>
      <c r="E27" s="1">
        <v>460</v>
      </c>
      <c r="F27">
        <f>D27/1000</f>
        <v>0.37</v>
      </c>
      <c r="G27">
        <f>E27/1000</f>
        <v>0.46</v>
      </c>
      <c r="H27">
        <f>(D27+E27)/2</f>
        <v>415</v>
      </c>
      <c r="I27">
        <f>H27/1000</f>
        <v>0.41499999999999998</v>
      </c>
      <c r="J27">
        <v>4.5999999999999996</v>
      </c>
      <c r="K27">
        <f>J27/1000</f>
        <v>4.5999999999999999E-3</v>
      </c>
      <c r="L27">
        <f>3.141592*(K27/2)*(K27/2)</f>
        <v>1.661902168E-5</v>
      </c>
      <c r="M27" s="1">
        <f>M26</f>
        <v>0.9</v>
      </c>
      <c r="N27">
        <f>M27*101000</f>
        <v>90900</v>
      </c>
      <c r="O27">
        <f>C27*N27/1000</f>
        <v>19.270799999999998</v>
      </c>
      <c r="P27">
        <f>I27*9.8</f>
        <v>4.0670000000000002</v>
      </c>
      <c r="Q27">
        <v>1.1000000000000001</v>
      </c>
      <c r="R27">
        <f>P27/C27*Q27</f>
        <v>21.102358490566044</v>
      </c>
      <c r="S27">
        <f>(C27*R27*R27)/2</f>
        <v>47.202810589622665</v>
      </c>
      <c r="T27">
        <f>S27/O27</f>
        <v>2.4494473809921056</v>
      </c>
    </row>
    <row r="28" spans="1:20" x14ac:dyDescent="0.3">
      <c r="A28">
        <f>A27+1</f>
        <v>14</v>
      </c>
      <c r="B28" s="1">
        <v>212</v>
      </c>
      <c r="C28">
        <f>B28/1000</f>
        <v>0.21199999999999999</v>
      </c>
      <c r="D28" s="1">
        <v>290</v>
      </c>
      <c r="E28" s="1">
        <v>362</v>
      </c>
      <c r="F28">
        <f>D28/1000</f>
        <v>0.28999999999999998</v>
      </c>
      <c r="G28">
        <f>E28/1000</f>
        <v>0.36199999999999999</v>
      </c>
      <c r="H28">
        <f>(D28+E28)/2</f>
        <v>326</v>
      </c>
      <c r="I28">
        <f>H28/1000</f>
        <v>0.32600000000000001</v>
      </c>
      <c r="J28">
        <v>4.5999999999999996</v>
      </c>
      <c r="K28">
        <f>J28/1000</f>
        <v>4.5999999999999999E-3</v>
      </c>
      <c r="L28">
        <f>3.141592*(K28/2)*(K28/2)</f>
        <v>1.661902168E-5</v>
      </c>
      <c r="M28" s="1">
        <f>M27</f>
        <v>0.9</v>
      </c>
      <c r="N28">
        <f>M28*101000</f>
        <v>90900</v>
      </c>
      <c r="O28">
        <f>C28*N28/1000</f>
        <v>19.270799999999998</v>
      </c>
      <c r="P28">
        <f>I28*9.8</f>
        <v>3.1948000000000003</v>
      </c>
      <c r="Q28">
        <v>1.4</v>
      </c>
      <c r="R28">
        <f>P28/C28*Q28</f>
        <v>21.097735849056605</v>
      </c>
      <c r="S28">
        <f>(C28*R28*R28)/2</f>
        <v>47.182132543396229</v>
      </c>
      <c r="T28">
        <f>S28/O28</f>
        <v>2.4483743561967448</v>
      </c>
    </row>
    <row r="35" spans="3:14" x14ac:dyDescent="0.3">
      <c r="C35" t="s">
        <v>22</v>
      </c>
      <c r="D35" t="s">
        <v>23</v>
      </c>
      <c r="E35" t="s">
        <v>24</v>
      </c>
      <c r="F35" t="s">
        <v>20</v>
      </c>
      <c r="G35" t="s">
        <v>16</v>
      </c>
      <c r="H35" t="s">
        <v>17</v>
      </c>
      <c r="I35" t="s">
        <v>18</v>
      </c>
      <c r="J35" t="s">
        <v>25</v>
      </c>
      <c r="K35" t="s">
        <v>26</v>
      </c>
      <c r="L35" t="s">
        <v>21</v>
      </c>
      <c r="M35">
        <f>E37-E36</f>
        <v>7.8000000000000014E-2</v>
      </c>
      <c r="N35">
        <f>F37-F36</f>
        <v>0.37300000000000005</v>
      </c>
    </row>
    <row r="36" spans="3:14" x14ac:dyDescent="0.3">
      <c r="C36">
        <f>101000*D36</f>
        <v>101000</v>
      </c>
      <c r="D36">
        <v>1</v>
      </c>
      <c r="E36">
        <v>0.192</v>
      </c>
      <c r="F36">
        <v>0.28199999999999997</v>
      </c>
      <c r="G36">
        <f>F36*9.8</f>
        <v>2.7635999999999998</v>
      </c>
      <c r="H36">
        <v>1</v>
      </c>
      <c r="I36">
        <f>G36/E36*H36</f>
        <v>14.393749999999999</v>
      </c>
      <c r="J36">
        <f>C36*E36/1000</f>
        <v>19.391999999999999</v>
      </c>
      <c r="K36">
        <f>E36*I36*I36/2</f>
        <v>19.889283749999997</v>
      </c>
      <c r="L36">
        <f>K36/J36</f>
        <v>1.0256437577351485</v>
      </c>
    </row>
    <row r="37" spans="3:14" x14ac:dyDescent="0.3">
      <c r="C37">
        <f>101000*D37</f>
        <v>202000</v>
      </c>
      <c r="D37">
        <f>D36+1</f>
        <v>2</v>
      </c>
      <c r="E37">
        <v>0.27</v>
      </c>
      <c r="F37">
        <v>0.65500000000000003</v>
      </c>
      <c r="G37">
        <f>F37*9.8</f>
        <v>6.4190000000000005</v>
      </c>
      <c r="H37">
        <f>H36</f>
        <v>1</v>
      </c>
      <c r="I37">
        <f>G37/E37*H37</f>
        <v>23.774074074074075</v>
      </c>
      <c r="J37">
        <f>C37*E37/1000</f>
        <v>54.54</v>
      </c>
      <c r="K37">
        <f>E37*I37*I37/2</f>
        <v>76.30289074074075</v>
      </c>
      <c r="L37">
        <f>K37/J37</f>
        <v>1.3990262328702008</v>
      </c>
    </row>
    <row r="38" spans="3:14" x14ac:dyDescent="0.3">
      <c r="C38">
        <f>101000*D38</f>
        <v>303000</v>
      </c>
      <c r="D38">
        <f>D37+1</f>
        <v>3</v>
      </c>
      <c r="E38">
        <f>E37+0.078</f>
        <v>0.34800000000000003</v>
      </c>
      <c r="F38">
        <f>F37+0.373</f>
        <v>1.028</v>
      </c>
      <c r="G38">
        <f>F38*9.8</f>
        <v>10.074400000000001</v>
      </c>
      <c r="H38">
        <f>H37</f>
        <v>1</v>
      </c>
      <c r="I38">
        <f>G38/E38*H38</f>
        <v>28.94942528735632</v>
      </c>
      <c r="J38">
        <f>C38*E38/1000</f>
        <v>105.44400000000002</v>
      </c>
      <c r="K38">
        <f>E38*I38*I38/2</f>
        <v>145.82404505747127</v>
      </c>
      <c r="L38">
        <f>K38/J38</f>
        <v>1.3829525156241345</v>
      </c>
    </row>
    <row r="39" spans="3:14" x14ac:dyDescent="0.3">
      <c r="C39" s="4">
        <f>101000*D39</f>
        <v>404000</v>
      </c>
      <c r="D39" s="4">
        <f>D38+1</f>
        <v>4</v>
      </c>
      <c r="E39">
        <f>E38+0.078</f>
        <v>0.42600000000000005</v>
      </c>
      <c r="F39">
        <f>F38+0.373</f>
        <v>1.401</v>
      </c>
      <c r="G39" s="4">
        <f>F39*9.8</f>
        <v>13.729800000000001</v>
      </c>
      <c r="H39" s="4">
        <f>H38</f>
        <v>1</v>
      </c>
      <c r="I39" s="4">
        <f>G39/E39*H39</f>
        <v>32.229577464788733</v>
      </c>
      <c r="J39" s="4">
        <f>C39*E39/1000</f>
        <v>172.10400000000004</v>
      </c>
      <c r="K39" s="4">
        <f>E39*I39*I39/2</f>
        <v>221.2528263380282</v>
      </c>
      <c r="L39" s="4">
        <f>K39/J39</f>
        <v>1.2855763162856653</v>
      </c>
    </row>
    <row r="40" spans="3:14" x14ac:dyDescent="0.3">
      <c r="C40">
        <f>101000*D40</f>
        <v>505000</v>
      </c>
      <c r="D40">
        <f>D39+1</f>
        <v>5</v>
      </c>
      <c r="E40">
        <f>E39+0.078</f>
        <v>0.504</v>
      </c>
      <c r="F40">
        <f>F39+0.373</f>
        <v>1.774</v>
      </c>
      <c r="G40">
        <f>F40*9.8</f>
        <v>17.385200000000001</v>
      </c>
      <c r="H40">
        <f>H39</f>
        <v>1</v>
      </c>
      <c r="I40">
        <f>G40/E40*H40</f>
        <v>34.494444444444447</v>
      </c>
      <c r="J40">
        <f>C40*E40/1000</f>
        <v>254.52</v>
      </c>
      <c r="K40">
        <f>E40*I40*I40/2</f>
        <v>299.84640777777781</v>
      </c>
      <c r="L40">
        <f>K40/J40</f>
        <v>1.1780858391394695</v>
      </c>
    </row>
    <row r="41" spans="3:14" x14ac:dyDescent="0.3">
      <c r="C41">
        <f>101000*D41</f>
        <v>606000</v>
      </c>
      <c r="D41">
        <f>D40+1</f>
        <v>6</v>
      </c>
      <c r="E41">
        <f>E40+0.078</f>
        <v>0.58199999999999996</v>
      </c>
      <c r="F41">
        <f>F40+0.373</f>
        <v>2.1470000000000002</v>
      </c>
      <c r="G41">
        <f>F41*9.8</f>
        <v>21.040600000000005</v>
      </c>
      <c r="H41">
        <f>H40</f>
        <v>1</v>
      </c>
      <c r="I41">
        <f>G41/E41*H41</f>
        <v>36.152233676975953</v>
      </c>
      <c r="J41">
        <f>C41*E41/1000</f>
        <v>352.69200000000001</v>
      </c>
      <c r="K41">
        <f>E41*I41*I41/2</f>
        <v>380.33234395189021</v>
      </c>
      <c r="L41">
        <f>K41/J41</f>
        <v>1.078369636827289</v>
      </c>
    </row>
    <row r="42" spans="3:14" x14ac:dyDescent="0.3">
      <c r="C42">
        <f>101000*D42</f>
        <v>707000</v>
      </c>
      <c r="D42">
        <f>D41+1</f>
        <v>7</v>
      </c>
      <c r="E42">
        <f>E41+0.078</f>
        <v>0.65999999999999992</v>
      </c>
      <c r="F42">
        <f>F41+0.373</f>
        <v>2.5200000000000005</v>
      </c>
      <c r="G42">
        <f>F42*9.8</f>
        <v>24.696000000000005</v>
      </c>
      <c r="H42">
        <f>H41</f>
        <v>1</v>
      </c>
      <c r="I42">
        <f>G42/E42*H42</f>
        <v>37.418181818181829</v>
      </c>
      <c r="J42">
        <f>C42*E42/1000</f>
        <v>466.61999999999995</v>
      </c>
      <c r="K42">
        <f>E42*I42*I42/2</f>
        <v>462.0397090909093</v>
      </c>
      <c r="L42">
        <f>K42/J42</f>
        <v>0.99018410932002343</v>
      </c>
    </row>
    <row r="43" spans="3:14" x14ac:dyDescent="0.3">
      <c r="C43" s="4">
        <f>101000*D43</f>
        <v>808000</v>
      </c>
      <c r="D43" s="4">
        <f>D42+1</f>
        <v>8</v>
      </c>
      <c r="E43">
        <f>E42+0.078</f>
        <v>0.73799999999999988</v>
      </c>
      <c r="F43">
        <f>F42+0.373</f>
        <v>2.8930000000000007</v>
      </c>
      <c r="G43" s="4">
        <f>F43*9.8</f>
        <v>28.351400000000009</v>
      </c>
      <c r="H43" s="4">
        <f>H42</f>
        <v>1</v>
      </c>
      <c r="I43" s="4">
        <f>G43/E43*H43</f>
        <v>38.416531165311675</v>
      </c>
      <c r="J43" s="4">
        <f>C43*E43/1000</f>
        <v>596.30399999999986</v>
      </c>
      <c r="K43" s="4">
        <f>E43*I43*I43/2</f>
        <v>544.58122084010893</v>
      </c>
      <c r="L43" s="4">
        <f>K43/J43</f>
        <v>0.91326105617287334</v>
      </c>
    </row>
    <row r="44" spans="3:14" x14ac:dyDescent="0.3">
      <c r="C44">
        <f>101000*D44</f>
        <v>909000</v>
      </c>
      <c r="D44">
        <f>D43+1</f>
        <v>9</v>
      </c>
      <c r="E44">
        <f>E43+0.078</f>
        <v>0.81599999999999984</v>
      </c>
      <c r="F44">
        <f>F43+0.373</f>
        <v>3.2660000000000009</v>
      </c>
      <c r="G44">
        <f>F44*9.8</f>
        <v>32.006800000000013</v>
      </c>
      <c r="H44">
        <f>H43</f>
        <v>1</v>
      </c>
      <c r="I44">
        <f>G44/E44*H44</f>
        <v>39.224019607843161</v>
      </c>
      <c r="J44">
        <f>C44*E44/1000</f>
        <v>741.74399999999991</v>
      </c>
      <c r="K44">
        <f>E44*I44*I44/2</f>
        <v>627.7176753921575</v>
      </c>
      <c r="L44">
        <f>K44/J44</f>
        <v>0.84627267007506302</v>
      </c>
    </row>
    <row r="45" spans="3:14" x14ac:dyDescent="0.3">
      <c r="C45">
        <f>101000*D45</f>
        <v>1010000</v>
      </c>
      <c r="D45">
        <f>D44+1</f>
        <v>10</v>
      </c>
      <c r="E45">
        <f>E44+0.078</f>
        <v>0.89399999999999979</v>
      </c>
      <c r="F45">
        <f>F44+0.373</f>
        <v>3.6390000000000011</v>
      </c>
      <c r="G45">
        <f>F45*9.8</f>
        <v>35.662200000000013</v>
      </c>
      <c r="H45">
        <f>H44</f>
        <v>1</v>
      </c>
      <c r="I45">
        <f>G45/E45*H45</f>
        <v>39.890604026845658</v>
      </c>
      <c r="J45">
        <f>C45*E45/1000</f>
        <v>902.93999999999971</v>
      </c>
      <c r="K45">
        <f>E45*I45*I45/2</f>
        <v>711.29334946308791</v>
      </c>
      <c r="L45">
        <f>K45/J45</f>
        <v>0.78775261862702739</v>
      </c>
    </row>
    <row r="46" spans="3:14" x14ac:dyDescent="0.3">
      <c r="C46">
        <f>101000*D46</f>
        <v>1111000</v>
      </c>
      <c r="D46">
        <f>D45+1</f>
        <v>11</v>
      </c>
      <c r="E46">
        <f>E45+0.078</f>
        <v>0.97199999999999975</v>
      </c>
      <c r="F46">
        <f>F45+0.373</f>
        <v>4.0120000000000013</v>
      </c>
      <c r="G46">
        <f>F46*9.8</f>
        <v>39.317600000000013</v>
      </c>
      <c r="H46">
        <f>H45</f>
        <v>1</v>
      </c>
      <c r="I46">
        <f>G46/E46*H46</f>
        <v>40.450205761316894</v>
      </c>
      <c r="J46">
        <f>C46*E46/1000</f>
        <v>1079.8919999999998</v>
      </c>
      <c r="K46">
        <f>E46*I46*I46/2</f>
        <v>795.20250502057684</v>
      </c>
      <c r="L46">
        <f>K46/J46</f>
        <v>0.73637225298509201</v>
      </c>
    </row>
    <row r="47" spans="3:14" x14ac:dyDescent="0.3">
      <c r="C47">
        <f>101000*D47</f>
        <v>1212000</v>
      </c>
      <c r="D47">
        <f>D46+1</f>
        <v>12</v>
      </c>
      <c r="E47">
        <f>E46+0.078</f>
        <v>1.0499999999999998</v>
      </c>
      <c r="F47">
        <f>F46+0.373</f>
        <v>4.3850000000000016</v>
      </c>
      <c r="G47">
        <f>F47*9.8</f>
        <v>42.97300000000002</v>
      </c>
      <c r="H47">
        <f>H46</f>
        <v>1</v>
      </c>
      <c r="I47">
        <f>G47/E47*H47</f>
        <v>40.926666666666691</v>
      </c>
      <c r="J47">
        <f>C47*E47/1000</f>
        <v>1272.5999999999997</v>
      </c>
      <c r="K47">
        <f>E47*I47*I47/2</f>
        <v>879.37082333333422</v>
      </c>
      <c r="L47">
        <f>K47/J47</f>
        <v>0.69100331866520071</v>
      </c>
    </row>
    <row r="48" spans="3:14" x14ac:dyDescent="0.3">
      <c r="C48">
        <f>101000*D48</f>
        <v>1313000</v>
      </c>
      <c r="D48">
        <f>D47+1</f>
        <v>13</v>
      </c>
      <c r="E48">
        <f>E47+0.078</f>
        <v>1.1279999999999999</v>
      </c>
      <c r="F48">
        <f>F47+0.373</f>
        <v>4.7580000000000018</v>
      </c>
      <c r="G48">
        <f>F48*9.8</f>
        <v>46.62840000000002</v>
      </c>
      <c r="H48">
        <f>H47</f>
        <v>1</v>
      </c>
      <c r="I48">
        <f>G48/E48*H48</f>
        <v>41.337234042553213</v>
      </c>
      <c r="J48">
        <f>C48*E48/1000</f>
        <v>1481.0639999999999</v>
      </c>
      <c r="K48">
        <f>E48*I48*I48/2</f>
        <v>963.74454191489451</v>
      </c>
      <c r="L48">
        <f>K48/J48</f>
        <v>0.65071093613435649</v>
      </c>
    </row>
    <row r="49" spans="3:12" x14ac:dyDescent="0.3">
      <c r="C49">
        <f>101000*D49</f>
        <v>1414000</v>
      </c>
      <c r="D49">
        <f>D48+1</f>
        <v>14</v>
      </c>
      <c r="E49">
        <f>E48+0.078</f>
        <v>1.206</v>
      </c>
      <c r="F49">
        <f>F48+0.373</f>
        <v>5.131000000000002</v>
      </c>
      <c r="G49">
        <f>F49*9.8</f>
        <v>50.283800000000021</v>
      </c>
      <c r="H49">
        <f>H48</f>
        <v>1</v>
      </c>
      <c r="I49">
        <f>G49/E49*H49</f>
        <v>41.694693200663366</v>
      </c>
      <c r="J49">
        <f>C49*E49/1000</f>
        <v>1705.2840000000001</v>
      </c>
      <c r="K49">
        <f>E49*I49*I49/2</f>
        <v>1048.2838069817587</v>
      </c>
      <c r="L49">
        <f>K49/J49</f>
        <v>0.61472681792696038</v>
      </c>
    </row>
    <row r="50" spans="3:12" x14ac:dyDescent="0.3">
      <c r="C50">
        <f>101000*D50</f>
        <v>1515000</v>
      </c>
      <c r="D50">
        <f>D49+1</f>
        <v>15</v>
      </c>
      <c r="E50">
        <f>E49+0.078</f>
        <v>1.284</v>
      </c>
      <c r="F50">
        <f>F49+0.373</f>
        <v>5.5040000000000022</v>
      </c>
      <c r="G50">
        <f>F50*9.8</f>
        <v>53.939200000000028</v>
      </c>
      <c r="H50">
        <f>H49</f>
        <v>1</v>
      </c>
      <c r="I50">
        <f>G50/E50*H50</f>
        <v>42.00872274143304</v>
      </c>
      <c r="J50">
        <f>C50*E50/1000</f>
        <v>1945.26</v>
      </c>
      <c r="K50">
        <f>E50*I50*I50/2</f>
        <v>1132.9584488473531</v>
      </c>
      <c r="L50">
        <f>K50/J50</f>
        <v>0.58242006150712666</v>
      </c>
    </row>
    <row r="51" spans="3:12" x14ac:dyDescent="0.3">
      <c r="C51" s="4">
        <f>101000*D51</f>
        <v>1616000</v>
      </c>
      <c r="D51" s="4">
        <f>D50+1</f>
        <v>16</v>
      </c>
      <c r="E51">
        <f>E50+0.078</f>
        <v>1.3620000000000001</v>
      </c>
      <c r="F51">
        <f>F50+0.373</f>
        <v>5.8770000000000024</v>
      </c>
      <c r="G51" s="4">
        <f>F51*9.8</f>
        <v>57.594600000000028</v>
      </c>
      <c r="H51" s="4">
        <f>H50</f>
        <v>1</v>
      </c>
      <c r="I51" s="4">
        <f>G51/E51*H51</f>
        <v>42.286784140969182</v>
      </c>
      <c r="J51" s="4">
        <f>C51*E51/1000</f>
        <v>2200.9920000000002</v>
      </c>
      <c r="K51" s="4">
        <f>E51*I51*I51/2</f>
        <v>1217.7452089427325</v>
      </c>
      <c r="L51" s="4">
        <f>K51/J51</f>
        <v>0.55327107456216662</v>
      </c>
    </row>
    <row r="52" spans="3:12" x14ac:dyDescent="0.3">
      <c r="C52">
        <f>101000*D52</f>
        <v>3232000</v>
      </c>
      <c r="D52">
        <v>32</v>
      </c>
      <c r="E52">
        <f>E51+0.078</f>
        <v>1.4400000000000002</v>
      </c>
      <c r="F52">
        <f>F51+0.373</f>
        <v>6.2500000000000027</v>
      </c>
      <c r="G52">
        <f>F52*9.8</f>
        <v>61.250000000000028</v>
      </c>
      <c r="H52">
        <f>H51</f>
        <v>1</v>
      </c>
      <c r="I52">
        <f>G52/E52*H52</f>
        <v>42.534722222222236</v>
      </c>
      <c r="J52">
        <f>C52*E52/1000</f>
        <v>4654.0800000000008</v>
      </c>
      <c r="K52">
        <f>E52*I52*I52/2</f>
        <v>1302.6258680555566</v>
      </c>
      <c r="L52">
        <f>K52/J52</f>
        <v>0.2798890152415851</v>
      </c>
    </row>
    <row r="53" spans="3:12" x14ac:dyDescent="0.3">
      <c r="C53">
        <f>101000*D53</f>
        <v>6464000</v>
      </c>
      <c r="D53">
        <v>64</v>
      </c>
      <c r="E53">
        <f>E52+0.078</f>
        <v>1.5180000000000002</v>
      </c>
      <c r="F53">
        <f>F52+0.373</f>
        <v>6.6230000000000029</v>
      </c>
      <c r="G53">
        <f>F53*9.8</f>
        <v>64.905400000000029</v>
      </c>
      <c r="H53">
        <f>H52</f>
        <v>1</v>
      </c>
      <c r="I53">
        <f>G53/E53*H53</f>
        <v>42.757180500658777</v>
      </c>
      <c r="J53">
        <f>C53*E53/1000</f>
        <v>9812.3520000000026</v>
      </c>
      <c r="K53">
        <f>E53*I53*I53/2</f>
        <v>1387.5859516337298</v>
      </c>
      <c r="L53">
        <f>K53/J53</f>
        <v>0.14141216617929417</v>
      </c>
    </row>
    <row r="54" spans="3:12" x14ac:dyDescent="0.3">
      <c r="C54">
        <f>101000*D54</f>
        <v>12928000</v>
      </c>
      <c r="D54">
        <v>128</v>
      </c>
      <c r="E54">
        <f>E53+0.078</f>
        <v>1.5960000000000003</v>
      </c>
      <c r="F54">
        <f>F53+0.373</f>
        <v>6.9960000000000031</v>
      </c>
      <c r="G54">
        <f>F54*9.8</f>
        <v>68.560800000000029</v>
      </c>
      <c r="H54">
        <f>H53</f>
        <v>1</v>
      </c>
      <c r="I54">
        <f>G54/E54*H54</f>
        <v>42.957894736842114</v>
      </c>
      <c r="J54">
        <f>C54*E54/1000</f>
        <v>20633.088000000003</v>
      </c>
      <c r="K54">
        <f>E54*I54*I54/2</f>
        <v>1472.6138147368431</v>
      </c>
      <c r="L54">
        <f>K54/J54</f>
        <v>7.1371469686788661E-2</v>
      </c>
    </row>
    <row r="1048576" spans="3:14" x14ac:dyDescent="0.3">
      <c r="C1048576">
        <f>B1048576/1000</f>
        <v>0</v>
      </c>
      <c r="J1048576">
        <f>4.5</f>
        <v>4.5</v>
      </c>
      <c r="N1048576">
        <f>M1048576*101000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Сысуев Константин Александрович</dc:creator>
  <cp:lastModifiedBy>Сысуев Константин Александрович</cp:lastModifiedBy>
  <dcterms:created xsi:type="dcterms:W3CDTF">2026-08-15T07:22:23Z</dcterms:created>
  <dcterms:modified xsi:type="dcterms:W3CDTF">2026-08-16T16:53:05Z</dcterms:modified>
</cp:coreProperties>
</file>